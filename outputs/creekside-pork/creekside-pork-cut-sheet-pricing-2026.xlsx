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1e4f186fb84e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99e4e00f8f4545"/>
    <x:sheet xmlns:r="http://schemas.openxmlformats.org/officeDocument/2006/relationships" name="Customer Cut Sheet" sheetId="2" r:id="R5dae1c87c22043c1"/>
    <x:sheet xmlns:r="http://schemas.openxmlformats.org/officeDocument/2006/relationships" name="Butcher Pricing" sheetId="3" r:id="R94476bd90d22466c"/>
    <x:sheet xmlns:r="http://schemas.openxmlformats.org/officeDocument/2006/relationships" name="Pricing Model" sheetId="4" r:id="Rd27c66c593484c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6351F"/>
      </x:patternFill>
    </x:fill>
    <x:fill>
      <x:patternFill patternType="solid">
        <x:fgColor rgb="FFD9D0B0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b41e24fc74d03" /><Relationship Type="http://schemas.openxmlformats.org/officeDocument/2006/relationships/theme" Target="/xl/theme/theme1.xml" Id="R945e30c2cc7f4aac" /><Relationship Type="http://schemas.openxmlformats.org/officeDocument/2006/relationships/sharedStrings" Target="/xl/sharedStrings.xml" Id="Rb0405a1076184283" /><Relationship Type="http://schemas.openxmlformats.org/officeDocument/2006/relationships/worksheet" Target="/xl/worksheets/sheet1.xml" Id="Rbb99e4e00f8f4545" /><Relationship Type="http://schemas.openxmlformats.org/officeDocument/2006/relationships/worksheet" Target="/xl/worksheets/sheet2.xml" Id="R5dae1c87c22043c1" /><Relationship Type="http://schemas.openxmlformats.org/officeDocument/2006/relationships/worksheet" Target="/xl/worksheets/sheet3.xml" Id="R94476bd90d22466c" /><Relationship Type="http://schemas.openxmlformats.org/officeDocument/2006/relationships/worksheet" Target="/xl/worksheets/sheet4.xml" Id="Rd27c66c593484c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Creekside Fields Pork Shares - 2026 Pricing Recommendation</x:v>
      </x:c>
      <x:c r="B1" s="1"/>
      <x:c r="C1" s="1"/>
      <x:c r="D1" s="1"/>
      <x:c r="E1" s="1"/>
      <x:c r="F1" s="1"/>
    </x:row>
    <x:row r="3">
      <x:c r="A3" s="2" t="str">
        <x:v>Recommendation</x:v>
      </x:c>
      <x:c r="B3" s="2" t="str">
        <x:v>Farm $/lb hanging</x:v>
      </x:c>
      <x:c r="C3" s="2" t="str">
        <x:v>Estimated butcher $/lb</x:v>
      </x:c>
      <x:c r="D3" s="2" t="str">
        <x:v>Suggested all-in $/lb</x:v>
      </x:c>
      <x:c r="E3" s="2" t="str">
        <x:v>Est. hanging lbs</x:v>
      </x:c>
      <x:c r="F3" s="2" t="str">
        <x:v>Est. customer total</x:v>
      </x:c>
    </x:row>
    <x:row r="4">
      <x:c r="A4" t="str">
        <x:v>Whole hog</x:v>
      </x:c>
      <x:c r="B4" t="n">
        <x:v>6</x:v>
      </x:c>
      <x:c r="C4" t="n">
        <x:f>'Pricing Model'!E16</x:f>
        <x:v>1.6533333333333333</x:v>
      </x:c>
      <x:c r="D4" t="n">
        <x:f>'Pricing Model'!F16</x:f>
        <x:v>7.75</x:v>
      </x:c>
      <x:c r="E4" t="n">
        <x:f>'Pricing Model'!B16</x:f>
        <x:v>300</x:v>
      </x:c>
      <x:c r="F4" t="n">
        <x:f>D4*E4</x:f>
        <x:v>2325</x:v>
      </x:c>
    </x:row>
    <x:row r="5">
      <x:c r="A5" t="str">
        <x:v>Half hog</x:v>
      </x:c>
      <x:c r="B5" t="n">
        <x:v>6.5</x:v>
      </x:c>
      <x:c r="C5" t="n">
        <x:f>'Pricing Model'!E17</x:f>
        <x:v>1.7533333333333334</x:v>
      </x:c>
      <x:c r="D5" t="n">
        <x:f>'Pricing Model'!F17</x:f>
        <x:v>8.5</x:v>
      </x:c>
      <x:c r="E5" t="n">
        <x:f>'Pricing Model'!B17</x:f>
        <x:v>150</x:v>
      </x:c>
      <x:c r="F5" t="n">
        <x:f>D5*E5</x:f>
        <x:v>1275</x:v>
      </x:c>
    </x:row>
    <x:row r="6">
      <x:c r="A6" t="str">
        <x:v>Quarter hog</x:v>
      </x:c>
      <x:c r="B6" t="n">
        <x:v>7.25</x:v>
      </x:c>
      <x:c r="C6" t="n">
        <x:f>'Pricing Model'!E18</x:f>
        <x:v>1.7533333333333334</x:v>
      </x:c>
      <x:c r="D6" t="n">
        <x:f>'Pricing Model'!F18</x:f>
        <x:v>9.25</x:v>
      </x:c>
      <x:c r="E6" t="n">
        <x:f>'Pricing Model'!B18</x:f>
        <x:v>75</x:v>
      </x:c>
      <x:c r="F6" t="n">
        <x:f>D6*E6</x:f>
        <x:v>693.75</x:v>
      </x:c>
    </x:row>
    <x:row r="7">
      <x:c r="A7"/>
      <x:c r="B7"/>
      <x:c r="C7"/>
      <x:c r="D7"/>
      <x:c r="E7"/>
      <x:c r="F7"/>
    </x:row>
    <x:row r="8">
      <x:c r="A8" t="str">
        <x:v>Suggested deposits</x:v>
      </x:c>
      <x:c r="B8"/>
      <x:c r="C8"/>
      <x:c r="D8"/>
      <x:c r="E8"/>
      <x:c r="F8"/>
    </x:row>
    <x:row r="9">
      <x:c r="A9" t="str">
        <x:v>Whole hog</x:v>
      </x:c>
      <x:c r="B9" t="n">
        <x:v>300</x:v>
      </x:c>
      <x:c r="C9"/>
      <x:c r="D9"/>
      <x:c r="E9"/>
      <x:c r="F9"/>
    </x:row>
    <x:row r="10">
      <x:c r="A10" t="str">
        <x:v>Half hog</x:v>
      </x:c>
      <x:c r="B10" t="n">
        <x:v>175</x:v>
      </x:c>
      <x:c r="C10"/>
      <x:c r="D10"/>
      <x:c r="E10"/>
      <x:c r="F10"/>
    </x:row>
    <x:row r="11">
      <x:c r="A11" t="str">
        <x:v>Quarter hog</x:v>
      </x:c>
      <x:c r="B11" t="n">
        <x:v>100</x:v>
      </x:c>
      <x:c r="C11"/>
      <x:c r="D11"/>
      <x:c r="E11"/>
      <x:c r="F11"/>
    </x:row>
    <x:row r="13">
      <x:c r="A13" t="str">
        <x:v>Pricing rationale</x:v>
      </x:c>
      <x:c r="B13"/>
      <x:c r="C13"/>
      <x:c r="D13"/>
      <x:c r="E13"/>
      <x:c r="F13"/>
    </x:row>
    <x:row r="14">
      <x:c r="A14" t="str">
        <x:v>Butcher fees are based on Eagle Bridge Custom Meat's 2026 sheet: slaughter, rendering, processing, boxing, and farm label charges.</x:v>
      </x:c>
      <x:c r="B14"/>
      <x:c r="C14"/>
      <x:c r="D14"/>
      <x:c r="E14"/>
      <x:c r="F14"/>
    </x:row>
    <x:row r="15">
      <x:c r="A15" t="str">
        <x:v>Market check: USDA's National Pasture Raised Pork Report listed whole carcass/hanging-weight pork at an average of $4.50/lb before processing and half shares at $5.35/lb before processing.</x:v>
      </x:c>
      <x:c r="B15"/>
      <x:c r="C15"/>
      <x:c r="D15"/>
      <x:c r="E15"/>
      <x:c r="F15"/>
    </x:row>
    <x:row r="16">
      <x:c r="A16" t="str">
        <x:v>Your pigs are premium: heritage breed, pasture-raised, approximately 18 months old, small-scale, high-care production.</x:v>
      </x:c>
      <x:c r="B16"/>
      <x:c r="C16"/>
      <x:c r="D16"/>
      <x:c r="E16"/>
      <x:c r="F16"/>
    </x:row>
    <x:row r="17">
      <x:c r="A17" t="str">
        <x:v>Recommendation: list all-in base prices rounded to customer-friendly numbers: Whole $7.75/lb HW, Half $8.50/lb HW, Quarter $9.25/lb HW.</x:v>
      </x:c>
      <x:c r="B17"/>
      <x:c r="C17"/>
      <x:c r="D17"/>
      <x:c r="E17"/>
      <x:c r="F17"/>
    </x:row>
    <x:row r="18">
      <x:c r="A18" t="str">
        <x:v>Smoke/no-nitrate/links/custom sausage can be pass-through upgrades or covered by a separate 'smoke &amp; sausage allowance' deposit.</x:v>
      </x:c>
      <x:c r="B18"/>
      <x:c r="C18"/>
      <x:c r="D18"/>
      <x:c r="E18"/>
      <x:c r="F18"/>
    </x:row>
    <x:row r="19">
      <x:c r="A19" t="str">
        <x:v>Actual totals should be finalized after certified hanging weight and final butcher invoice.</x:v>
      </x:c>
      <x:c r="B19"/>
      <x:c r="C19"/>
      <x:c r="D19"/>
      <x:c r="E19"/>
      <x:c r="F19"/>
    </x:row>
    <x:row r="20">
      <x:c r="A20" t="str">
        <x:v>Estimated take-home meat is commonly 50-75% of hanging weight depending on cut choices; use 65% as a planning midpoint.</x:v>
      </x:c>
      <x:c r="B20"/>
      <x:c r="C20"/>
      <x:c r="D20"/>
      <x:c r="E20"/>
      <x:c r="F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" t="str">
        <x:v>Creekside Fields Customer Cut Sheet Options</x:v>
      </x:c>
      <x:c r="B1" s="1"/>
      <x:c r="C1" s="1"/>
      <x:c r="D1" s="1"/>
      <x:c r="E1" s="1"/>
      <x:c r="F1" s="1"/>
    </x:row>
    <x:row r="3">
      <x:c r="A3" s="2" t="str">
        <x:v>Section</x:v>
      </x:c>
      <x:c r="B3" s="2" t="str">
        <x:v>Customer-friendly options</x:v>
      </x:c>
      <x:c r="C3" s="2" t="str">
        <x:v>Butcher source options</x:v>
      </x:c>
      <x:c r="D3" s="2" t="str">
        <x:v>Notes for customer form</x:v>
      </x:c>
      <x:c r="E3" s="2" t="str">
        <x:v>Recommended default</x:v>
      </x:c>
      <x:c r="F3" s="2"/>
    </x:row>
    <x:row r="4">
      <x:c r="A4" t="str">
        <x:v>Organs &amp; extras</x:v>
      </x:c>
      <x:c r="B4" t="str">
        <x:v>Heart/liver/tongue, kidneys, tails, snouts, ears, head, feet/trotters, leaf lard, fat back, caul fat, skin, jowls, soup bones, neck bones, hocks</x:v>
      </x:c>
      <x:c r="C4" t="str">
        <x:v>Rows 8-31 of butcher cut sheet</x:v>
      </x:c>
      <x:c r="D4" t="str">
        <x:v>Make these opt-in checkboxes; many customers will not want all offal/extras.</x:v>
      </x:c>
      <x:c r="E4" t="str">
        <x:v>Offer heart/liver/tongue, leaf lard, soup bones, hocks</x:v>
      </x:c>
    </x:row>
    <x:row r="5">
      <x:c r="A5" t="str">
        <x:v>Jowls</x:v>
      </x:c>
      <x:c r="B5" t="str">
        <x:v>Fresh jowls, smoked regular jowls, smoked no-nitrate jowls, grind</x:v>
      </x:c>
      <x:c r="C5" t="str">
        <x:v>Jowls - fresh / smoked R / smoked NN / grind</x:v>
      </x:c>
      <x:c r="D5" t="str">
        <x:v>Explain jowls as rich curing or braising cut.</x:v>
      </x:c>
      <x:c r="E5" t="str">
        <x:v>Fresh or smoked no-nitrate</x:v>
      </x:c>
    </x:row>
    <x:row r="6">
      <x:c r="A6" t="str">
        <x:v>Shoulder - picnic</x:v>
      </x:c>
      <x:c r="B6" t="str">
        <x:v>Chops, fresh bone-in roast, fresh boneless roast, boneless skinless roast, bone-in skinless roast, trim/ground</x:v>
      </x:c>
      <x:c r="C6" t="str">
        <x:v>Picnic shoulder options</x:v>
      </x:c>
      <x:c r="D6" t="str">
        <x:v>Let customers choose roasts vs more ground pork.</x:v>
      </x:c>
      <x:c r="E6" t="str">
        <x:v>Fresh bone-in roasts</x:v>
      </x:c>
    </x:row>
    <x:row r="7">
      <x:c r="A7" t="str">
        <x:v>Shoulder - Boston butt</x:v>
      </x:c>
      <x:c r="B7" t="str">
        <x:v>Chops, smoked shoulder roast, fresh bone-in roast, boneless roast, boneless skinless roast, bone-in skinless roast, shoulder bacon regular/no-nitrate, ground</x:v>
      </x:c>
      <x:c r="C7" t="str">
        <x:v>Boston butt options</x:v>
      </x:c>
      <x:c r="D7" t="str">
        <x:v>Best as roasts for pulled pork; shoulder bacon is an upgrade.</x:v>
      </x:c>
      <x:c r="E7" t="str">
        <x:v>Fresh bone-in roasts</x:v>
      </x:c>
    </x:row>
    <x:row r="8">
      <x:c r="A8" t="str">
        <x:v>Loin &amp; rib</x:v>
      </x:c>
      <x:c r="B8" t="str">
        <x:v>Tenderloin, boneless chops, bone-in chops, smoked loin/rib chops regular/no-nitrate, loin roast, boneless loin roast, Canadian bacon regular/no-nitrate, country-style ribs, baby back ribs, spare ribs, riblets, smoked ribs, stew, St. Louis ribs, grind</x:v>
      </x:c>
      <x:c r="C8" t="str">
        <x:v>Loin and rib section</x:v>
      </x:c>
      <x:c r="D8" t="str">
        <x:v>Ask chop thickness. Offer ribs as full racks or riblets.</x:v>
      </x:c>
      <x:c r="E8" t="str">
        <x:v>1-inch bone-in chops, ribs whole</x:v>
      </x:c>
    </x:row>
    <x:row r="9">
      <x:c r="A9" t="str">
        <x:v>Sirloin</x:v>
      </x:c>
      <x:c r="B9" t="str">
        <x:v>Fresh chops, smoked chops regular/no-nitrate, sirloin cutlets, roast, boneless roast, grind</x:v>
      </x:c>
      <x:c r="C9" t="str">
        <x:v>Sirloin section</x:v>
      </x:c>
      <x:c r="D9" t="str">
        <x:v>Good place to offer cutlets for quick meals.</x:v>
      </x:c>
      <x:c r="E9" t="str">
        <x:v>Cutlets or roast</x:v>
      </x:c>
    </x:row>
    <x:row r="10">
      <x:c r="A10" t="str">
        <x:v>Hams</x:v>
      </x:c>
      <x:c r="B10" t="str">
        <x:v>Fresh ham whole/boneless/skinless, smoked hams regular/no-nitrate, ham steaks, sliced ham, fresh ham steaks, fresh bone-in ham, fresh boneless ham, grind, trim, cutlets, kabobs</x:v>
      </x:c>
      <x:c r="C10" t="str">
        <x:v>Ham section</x:v>
      </x:c>
      <x:c r="D10" t="str">
        <x:v>Ask whole vs split vs center cut. Smoking is a major cost driver.</x:v>
      </x:c>
      <x:c r="E10" t="str">
        <x:v>No-nitrate smoked ham steaks</x:v>
      </x:c>
    </x:row>
    <x:row r="11">
      <x:c r="A11" t="str">
        <x:v>Bacon &amp; belly</x:v>
      </x:c>
      <x:c r="B11" t="str">
        <x:v>Regular smoked sliced bacon, no-nitrate smoked sliced bacon, slab bacon, no-nitrate slab chunks, fresh belly slabs, fresh belly skin-on, fresh belly skinless, belly bone-in skin-on, grind</x:v>
      </x:c>
      <x:c r="C11" t="str">
        <x:v>Bacon section</x:v>
      </x:c>
      <x:c r="D11" t="str">
        <x:v>Most customers expect bacon; no-nitrate should be presented as premium.</x:v>
      </x:c>
      <x:c r="E11" t="str">
        <x:v>No-nitrate smoked sliced bacon</x:v>
      </x:c>
    </x:row>
    <x:row r="12">
      <x:c r="A12" t="str">
        <x:v>Sausage</x:v>
      </x:c>
      <x:c r="B12" t="str">
        <x:v>Breakfast, sweet Italian, hot Italian, chorizo, bratwurst, maple breakfast, andouille, hot dogs, kielbasa, ground pork</x:v>
      </x:c>
      <x:c r="C12" t="str">
        <x:v>Sausage section and price list</x:v>
      </x:c>
      <x:c r="D12" t="str">
        <x:v>Bulk minimum 10 lb; links minimum 25 lb; hot dogs/kielbasa 50 lb minimum.</x:v>
      </x:c>
      <x:c r="E12" t="str">
        <x:v>Breakfast bulk + sweet Italian links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str">
        <x:v>Eagle Bridge Custom Meat Source Pricing</x:v>
      </x:c>
      <x:c r="B1" s="1"/>
      <x:c r="C1" s="1"/>
      <x:c r="D1" s="1"/>
      <x:c r="E1" s="1"/>
      <x:c r="F1" s="1"/>
    </x:row>
    <x:row r="3">
      <x:c r="A3" s="2" t="str">
        <x:v>Item</x:v>
      </x:c>
      <x:c r="B3" s="2" t="str">
        <x:v>Price</x:v>
      </x:c>
      <x:c r="C3" s="2" t="str">
        <x:v>Unit</x:v>
      </x:c>
      <x:c r="D3" s="2" t="str">
        <x:v>Notes</x:v>
      </x:c>
      <x:c r="E3" s="2"/>
      <x:c r="F3" s="2"/>
    </x:row>
    <x:row r="4">
      <x:c r="A4" t="str">
        <x:v>Slaughter - pigs up to 250 lb hanging</x:v>
      </x:c>
      <x:c r="B4" t="n">
        <x:v>53</x:v>
      </x:c>
      <x:c r="C4" t="str">
        <x:v>per pig</x:v>
      </x:c>
      <x:c r="D4" t="str">
        <x:v>From pricing sheet</x:v>
      </x:c>
    </x:row>
    <x:row r="5">
      <x:c r="A5" t="str">
        <x:v>Slaughter - pigs over 295 lb hanging</x:v>
      </x:c>
      <x:c r="B5" t="n">
        <x:v>100</x:v>
      </x:c>
      <x:c r="C5" t="str">
        <x:v>per pig</x:v>
      </x:c>
      <x:c r="D5" t="str">
        <x:v>Used in model for 300 lb assumption</x:v>
      </x:c>
    </x:row>
    <x:row r="6">
      <x:c r="A6" t="str">
        <x:v>Pigs 250-295 lb hanging</x:v>
      </x:c>
      <x:c r="B6" t="n">
        <x:v>1.15</x:v>
      </x:c>
      <x:c r="C6" t="str">
        <x:v>per lb over 250</x:v>
      </x:c>
      <x:c r="D6" t="str">
        <x:v>Pricing sheet text: per pound &gt;250 up to 295</x:v>
      </x:c>
    </x:row>
    <x:row r="7">
      <x:c r="A7" t="str">
        <x:v>Rendering</x:v>
      </x:c>
      <x:c r="B7" t="n">
        <x:v>0.12</x:v>
      </x:c>
      <x:c r="C7" t="str">
        <x:v>per lb hanging</x:v>
      </x:c>
      <x:c r="D7" t="str">
        <x:v>Beef, veal, pigs</x:v>
      </x:c>
    </x:row>
    <x:row r="8">
      <x:c r="A8" t="str">
        <x:v>Long-haired pig</x:v>
      </x:c>
      <x:c r="B8" t="n">
        <x:v>15</x:v>
      </x:c>
      <x:c r="C8" t="str">
        <x:v>per pig</x:v>
      </x:c>
      <x:c r="D8" t="str">
        <x:v>If applicable</x:v>
      </x:c>
    </x:row>
    <x:row r="9">
      <x:c r="A9" t="str">
        <x:v>Ship-out prep - pigs</x:v>
      </x:c>
      <x:c r="B9" t="n">
        <x:v>30</x:v>
      </x:c>
      <x:c r="C9" t="str">
        <x:v>per pig</x:v>
      </x:c>
      <x:c r="D9" t="str">
        <x:v>Only if shipping out</x:v>
      </x:c>
    </x:row>
    <x:row r="10">
      <x:c r="A10" t="str">
        <x:v>Processing - pig, one cut sheet</x:v>
      </x:c>
      <x:c r="B10" t="n">
        <x:v>1</x:v>
      </x:c>
      <x:c r="C10" t="str">
        <x:v>per lb hanging</x:v>
      </x:c>
      <x:c r="D10" t="str">
        <x:v>Whole hog single cut sheet</x:v>
      </x:c>
    </x:row>
    <x:row r="11">
      <x:c r="A11" t="str">
        <x:v>Processing - pig, cut in halves</x:v>
      </x:c>
      <x:c r="B11" t="n">
        <x:v>1.1</x:v>
      </x:c>
      <x:c r="C11" t="str">
        <x:v>per lb hanging</x:v>
      </x:c>
      <x:c r="D11" t="str">
        <x:v>Use for halves/quarters</x:v>
      </x:c>
    </x:row>
    <x:row r="12">
      <x:c r="A12" t="str">
        <x:v>Smoking regular</x:v>
      </x:c>
      <x:c r="B12" t="n">
        <x:v>1.45</x:v>
      </x:c>
      <x:c r="C12" t="str">
        <x:v>per lb start weight</x:v>
      </x:c>
      <x:c r="D12" t="str">
        <x:v>Choice-dependent</x:v>
      </x:c>
    </x:row>
    <x:row r="13">
      <x:c r="A13" t="str">
        <x:v>Smoking no nitrate</x:v>
      </x:c>
      <x:c r="B13" t="n">
        <x:v>2</x:v>
      </x:c>
      <x:c r="C13" t="str">
        <x:v>per lb start weight</x:v>
      </x:c>
      <x:c r="D13" t="str">
        <x:v>Choice-dependent</x:v>
      </x:c>
    </x:row>
    <x:row r="14">
      <x:c r="A14" t="str">
        <x:v>Sweet Italian bulk</x:v>
      </x:c>
      <x:c r="B14" t="n">
        <x:v>1.15</x:v>
      </x:c>
      <x:c r="C14" t="str">
        <x:v>per lb</x:v>
      </x:c>
      <x:c r="D14"/>
    </x:row>
    <x:row r="15">
      <x:c r="A15" t="str">
        <x:v>Sweet Italian links</x:v>
      </x:c>
      <x:c r="B15" t="n">
        <x:v>2.15</x:v>
      </x:c>
      <x:c r="C15" t="str">
        <x:v>per lb</x:v>
      </x:c>
      <x:c r="D15"/>
    </x:row>
    <x:row r="16">
      <x:c r="A16" t="str">
        <x:v>Hot Italian bulk</x:v>
      </x:c>
      <x:c r="B16" t="n">
        <x:v>1.15</x:v>
      </x:c>
      <x:c r="C16" t="str">
        <x:v>per lb</x:v>
      </x:c>
      <x:c r="D16"/>
    </x:row>
    <x:row r="17">
      <x:c r="A17" t="str">
        <x:v>Hot Italian links</x:v>
      </x:c>
      <x:c r="B17" t="n">
        <x:v>2.15</x:v>
      </x:c>
      <x:c r="C17" t="str">
        <x:v>per lb</x:v>
      </x:c>
      <x:c r="D17"/>
    </x:row>
    <x:row r="18">
      <x:c r="A18" t="str">
        <x:v>Breakfast bulk</x:v>
      </x:c>
      <x:c r="B18" t="n">
        <x:v>1.15</x:v>
      </x:c>
      <x:c r="C18" t="str">
        <x:v>per lb</x:v>
      </x:c>
      <x:c r="D18"/>
    </x:row>
    <x:row r="19">
      <x:c r="A19" t="str">
        <x:v>Breakfast links</x:v>
      </x:c>
      <x:c r="B19" t="n">
        <x:v>2.15</x:v>
      </x:c>
      <x:c r="C19" t="str">
        <x:v>per lb</x:v>
      </x:c>
      <x:c r="D19"/>
    </x:row>
    <x:row r="20">
      <x:c r="A20" t="str">
        <x:v>Maple breakfast bulk</x:v>
      </x:c>
      <x:c r="B20" t="n">
        <x:v>3.05</x:v>
      </x:c>
      <x:c r="C20" t="str">
        <x:v>per lb</x:v>
      </x:c>
      <x:c r="D20"/>
    </x:row>
    <x:row r="21">
      <x:c r="A21" t="str">
        <x:v>Maple breakfast links</x:v>
      </x:c>
      <x:c r="B21" t="n">
        <x:v>3.2</x:v>
      </x:c>
      <x:c r="C21" t="str">
        <x:v>per lb</x:v>
      </x:c>
      <x:c r="D21"/>
    </x:row>
    <x:row r="22">
      <x:c r="A22" t="str">
        <x:v>Boxing pork</x:v>
      </x:c>
      <x:c r="B22" t="n">
        <x:v>15</x:v>
      </x:c>
      <x:c r="C22" t="str">
        <x:v>per animal</x:v>
      </x:c>
      <x:c r="D22"/>
    </x:row>
    <x:row r="23">
      <x:c r="A23" t="str">
        <x:v>Farm name labels</x:v>
      </x:c>
      <x:c r="B23" t="n">
        <x:v>45</x:v>
      </x:c>
      <x:c r="C23" t="str">
        <x:v>per order</x:v>
      </x:c>
      <x:c r="D23"/>
    </x:row>
    <x:row r="24">
      <x:c r="A24" t="str">
        <x:v>Chorizo bulk</x:v>
      </x:c>
      <x:c r="B24" t="n">
        <x:v>3.3</x:v>
      </x:c>
      <x:c r="C24" t="str">
        <x:v>per lb</x:v>
      </x:c>
      <x:c r="D24"/>
    </x:row>
    <x:row r="25">
      <x:c r="A25" t="str">
        <x:v>Chorizo links</x:v>
      </x:c>
      <x:c r="B25" t="n">
        <x:v>3.45</x:v>
      </x:c>
      <x:c r="C25" t="str">
        <x:v>per lb</x:v>
      </x:c>
      <x:c r="D25"/>
    </x:row>
    <x:row r="26">
      <x:c r="A26" t="str">
        <x:v>Hot dogs regular/no nitrate</x:v>
      </x:c>
      <x:c r="B26" t="n">
        <x:v>3.9</x:v>
      </x:c>
      <x:c r="C26" t="str">
        <x:v>per lb links</x:v>
      </x:c>
      <x:c r="D26" t="str">
        <x:v>50 lb minimum</x:v>
      </x:c>
    </x:row>
    <x:row r="27">
      <x:c r="A27" t="str">
        <x:v>Ring kielbasa or bratwurst links</x:v>
      </x:c>
      <x:c r="B27" t="n">
        <x:v>3.2</x:v>
      </x:c>
      <x:c r="C27" t="str">
        <x:v>per lb links</x:v>
      </x:c>
      <x:c r="D27" t="str">
        <x:v>50 lb minimum</x:v>
      </x:c>
    </x:row>
    <x:row r="28">
      <x:c r="A28" t="str">
        <x:v>Ground pork patties/burger patties</x:v>
      </x:c>
      <x:c r="B28" t="n">
        <x:v>1.6</x:v>
      </x:c>
      <x:c r="C28" t="str">
        <x:v>per lb patties</x:v>
      </x:c>
      <x:c r="D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" t="str">
        <x:v>Pricing Model - editable assumptions</x:v>
      </x:c>
      <x:c r="B1" s="1"/>
      <x:c r="C1" s="1"/>
      <x:c r="D1" s="1"/>
      <x:c r="E1" s="1"/>
      <x:c r="F1" s="1"/>
    </x:row>
    <x:row r="3">
      <x:c r="A3" s="2" t="str">
        <x:v>Assumption</x:v>
      </x:c>
      <x:c r="B3" s="2" t="str">
        <x:v>Value</x:v>
      </x:c>
      <x:c r="C3" s="2"/>
      <x:c r="D3" s="2"/>
      <x:c r="E3" s="2"/>
      <x:c r="F3" s="2"/>
    </x:row>
    <x:row r="4">
      <x:c r="A4" t="str">
        <x:v>Hanging weight per whole hog</x:v>
      </x:c>
      <x:c r="B4" t="n">
        <x:v>300</x:v>
      </x:c>
    </x:row>
    <x:row r="5">
      <x:c r="A5" t="str">
        <x:v>Take-home yield assumption</x:v>
      </x:c>
      <x:c r="B5" t="n">
        <x:v>0.65</x:v>
      </x:c>
    </x:row>
    <x:row r="6">
      <x:c r="A6" t="str">
        <x:v>Farm label cost per animal/order</x:v>
      </x:c>
      <x:c r="B6" t="n">
        <x:v>45</x:v>
      </x:c>
    </x:row>
    <x:row r="7">
      <x:c r="A7" t="str">
        <x:v>Boxing per animal</x:v>
      </x:c>
      <x:c r="B7" t="n">
        <x:v>15</x:v>
      </x:c>
    </x:row>
    <x:row r="8">
      <x:c r="A8" t="str">
        <x:v>Rendering per lb</x:v>
      </x:c>
      <x:c r="B8" t="n">
        <x:v>0.12</x:v>
      </x:c>
    </x:row>
    <x:row r="9">
      <x:c r="A9" t="str">
        <x:v>Whole processing per lb</x:v>
      </x:c>
      <x:c r="B9" t="n">
        <x:v>1</x:v>
      </x:c>
    </x:row>
    <x:row r="10">
      <x:c r="A10" t="str">
        <x:v>Half/quarter processing per lb</x:v>
      </x:c>
      <x:c r="B10" t="n">
        <x:v>1.1</x:v>
      </x:c>
    </x:row>
    <x:row r="11">
      <x:c r="A11" t="str">
        <x:v>Slaughter fee used</x:v>
      </x:c>
      <x:c r="B11" t="n">
        <x:v>100</x:v>
      </x:c>
    </x:row>
    <x:row r="12">
      <x:c r="A12" t="str">
        <x:v>Optional smoking start lbs - whole</x:v>
      </x:c>
      <x:c r="B12" t="n">
        <x:v>80</x:v>
      </x:c>
    </x:row>
    <x:row r="13">
      <x:c r="A13" t="str">
        <x:v>Optional sausage lbs - whole</x:v>
      </x:c>
      <x:c r="B13" t="n">
        <x:v>40</x:v>
      </x:c>
    </x:row>
    <x:row r="15">
      <x:c r="A15" t="str">
        <x:v>Scenario</x:v>
      </x:c>
      <x:c r="B15" t="str">
        <x:v>Hanging lbs</x:v>
      </x:c>
      <x:c r="C15" t="str">
        <x:v>Base butcher $</x:v>
      </x:c>
      <x:c r="D15" t="str">
        <x:v>Optional smoke+sausage $</x:v>
      </x:c>
      <x:c r="E15" t="str">
        <x:v>Base butcher $/lb</x:v>
      </x:c>
      <x:c r="F15" t="str">
        <x:v>All-in target $/lb</x:v>
      </x:c>
    </x:row>
    <x:row r="16">
      <x:c r="A16" t="str">
        <x:v>Whole hog</x:v>
      </x:c>
      <x:c r="B16" t="n">
        <x:f>B4</x:f>
        <x:v>300</x:v>
      </x:c>
      <x:c r="C16" t="n">
        <x:f>B11+B8*B16+B9*B16+B7+B6</x:f>
        <x:v>496</x:v>
      </x:c>
      <x:c r="D16" t="n">
        <x:f>B12*1.45+B13*1.15</x:f>
        <x:v>162</x:v>
      </x:c>
      <x:c r="E16" t="n">
        <x:f>C16/B16</x:f>
        <x:v>1.6533333333333333</x:v>
      </x:c>
      <x:c r="F16" t="n">
        <x:v>7.75</x:v>
      </x:c>
    </x:row>
    <x:row r="17">
      <x:c r="A17" t="str">
        <x:v>Half hog</x:v>
      </x:c>
      <x:c r="B17" t="n">
        <x:f>B4/2</x:f>
        <x:v>150</x:v>
      </x:c>
      <x:c r="C17" t="n">
        <x:f>(B11+B8*B4+B10*B4+B7+B6)/2</x:f>
        <x:v>263</x:v>
      </x:c>
      <x:c r="D17" t="n">
        <x:f>(B12*1.45+B13*1.15)/2</x:f>
        <x:v>81</x:v>
      </x:c>
      <x:c r="E17" t="n">
        <x:f>C17/B17</x:f>
        <x:v>1.7533333333333334</x:v>
      </x:c>
      <x:c r="F17" t="n">
        <x:v>8.5</x:v>
      </x:c>
    </x:row>
    <x:row r="18">
      <x:c r="A18" t="str">
        <x:v>Quarter hog</x:v>
      </x:c>
      <x:c r="B18" t="n">
        <x:f>B4/4</x:f>
        <x:v>75</x:v>
      </x:c>
      <x:c r="C18" t="n">
        <x:f>(B11+B8*B4+B10*B4+B7+B6)/4</x:f>
        <x:v>131.5</x:v>
      </x:c>
      <x:c r="D18" t="n">
        <x:f>(B12*1.45+B13*1.15)/4</x:f>
        <x:v>40.5</x:v>
      </x:c>
      <x:c r="E18" t="n">
        <x:f>C18/B18</x:f>
        <x:v>1.7533333333333334</x:v>
      </x:c>
      <x:c r="F18" t="n">
        <x:v>9.25</x:v>
      </x:c>
    </x:row>
    <x:row r="19">
      <x:c r="A19"/>
      <x:c r="B19"/>
      <x:c r="C19"/>
      <x:c r="D19"/>
      <x:c r="E19"/>
      <x:c r="F19"/>
    </x:row>
    <x:row r="20">
      <x:c r="A20" t="str">
        <x:v>Estimated take-home lbs whole</x:v>
      </x:c>
      <x:c r="B20" t="n">
        <x:f>B4*B5</x:f>
        <x:v>195</x:v>
      </x:c>
      <x:c r="C20"/>
      <x:c r="D20"/>
      <x:c r="E20"/>
      <x:c r="F20"/>
    </x:row>
    <x:row r="21">
      <x:c r="A21" t="str">
        <x:v>Estimated take-home lbs half</x:v>
      </x:c>
      <x:c r="B21" t="n">
        <x:f>B4*B5/2</x:f>
        <x:v>97.5</x:v>
      </x:c>
      <x:c r="C21"/>
      <x:c r="D21"/>
      <x:c r="E21"/>
      <x:c r="F21"/>
    </x:row>
    <x:row r="22">
      <x:c r="A22" t="str">
        <x:v>Estimated take-home lbs quarter</x:v>
      </x:c>
      <x:c r="B22" t="n">
        <x:f>B4*B5/4</x:f>
        <x:v>48.75</x:v>
      </x:c>
      <x:c r="C22"/>
      <x:c r="D22"/>
      <x:c r="E22"/>
      <x:c r="F22"/>
    </x:row>
    <x:row r="25">
      <x:c r="A25" t="str">
        <x:v>Market references used</x:v>
      </x:c>
      <x:c r="B25" t="str">
        <x:v>Whole or half $/lb HW</x:v>
      </x:c>
      <x:c r="C25" t="str">
        <x:v>Processing included?</x:v>
      </x:c>
      <x:c r="D25" t="str">
        <x:v>Notes</x:v>
      </x:c>
      <x:c r="E25"/>
      <x:c r="F25"/>
    </x:row>
    <x:row r="26">
      <x:c r="A26" t="str">
        <x:v>USDA National Pasture Raised Pork Report</x:v>
      </x:c>
      <x:c r="B26" t="str">
        <x:v>Whole avg $4.50; half avg $5.35</x:v>
      </x:c>
      <x:c r="C26" t="str">
        <x:v>No</x:v>
      </x:c>
      <x:c r="D26" t="str">
        <x:v>Carcass/hanging-weight averages before processing</x:v>
      </x:c>
      <x:c r="E26"/>
      <x:c r="F26"/>
    </x:row>
    <x:row r="27">
      <x:c r="A27" t="str">
        <x:v>Bristol Haven Farm 2026</x:v>
      </x:c>
      <x:c r="B27" t="str">
        <x:v>$4.00 whole</x:v>
      </x:c>
      <x:c r="C27" t="str">
        <x:v>No</x:v>
      </x:c>
      <x:c r="D27" t="str">
        <x:v>Pasture-raised whole pig deposit listing</x:v>
      </x:c>
      <x:c r="E27"/>
      <x:c r="F27"/>
    </x:row>
    <x:row r="28">
      <x:c r="A28" t="str">
        <x:v>Anchor Ranch Farm</x:v>
      </x:c>
      <x:c r="B28" t="str">
        <x:v>$6.33 half</x:v>
      </x:c>
      <x:c r="C28" t="str">
        <x:v>Not specified as all-in in snippet</x:v>
      </x:c>
      <x:c r="D28" t="str">
        <x:v>Half hog share; discount available</x:v>
      </x:c>
      <x:c r="E28"/>
      <x:c r="F28"/>
    </x:row>
    <x:row r="29">
      <x:c r="A29" t="str">
        <x:v>Titus Farms</x:v>
      </x:c>
      <x:c r="B29" t="str">
        <x:v>$5.00 half / $5.25 whole</x:v>
      </x:c>
      <x:c r="C29" t="str">
        <x:v>Some basic processing included</x:v>
      </x:c>
      <x:c r="D29" t="str">
        <x:v>Comparable share pricing</x:v>
      </x:c>
      <x:c r="E29"/>
      <x:c r="F29"/>
    </x:row>
  </x:sheetData>
  <x:pageMargins left="0.7" right="0.7" top="0.75" bottom="0.75" header="0.3" footer="0.3"/>
</x:worksheet>
</file>